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Group decision" sheetId="2" state="visible" r:id="rId2"/>
    <sheet xmlns:r="http://schemas.openxmlformats.org/officeDocument/2006/relationships"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B7280"/>
    </font>
    <font>
      <b val="1"/>
      <color rgb="001F3A5F"/>
      <sz val="12"/>
    </font>
    <font>
      <b val="1"/>
      <color rgb="001F3A5F"/>
      <sz val="9"/>
    </font>
    <font>
      <b val="1"/>
      <color rgb="00FFFFFF"/>
      <sz val="9"/>
    </font>
    <font>
      <b val="1"/>
      <color rgb="00FFFFFF"/>
    </font>
    <font>
      <b val="1"/>
    </font>
    <font>
      <b val="1"/>
      <color rgb="001F3A5F"/>
      <sz val="13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9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6" fillId="3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AP Precalculus Unit 1 Checkpoint (Lessons 1.1 to 1.10): thresholds</t>
        </is>
      </c>
    </row>
    <row r="3">
      <c r="A3" t="inlineStr">
        <is>
          <t>Ready band: total at or above</t>
        </is>
      </c>
      <c r="B3" s="2" t="n">
        <v>0.75</v>
      </c>
    </row>
    <row r="4">
      <c r="A4" t="inlineStr">
        <is>
          <t>Developing band: total at or above</t>
        </is>
      </c>
      <c r="B4" s="2" t="n">
        <v>0.6</v>
      </c>
    </row>
    <row r="5">
      <c r="A5" t="inlineStr">
        <is>
          <t>Cluster flag: student cluster score below</t>
        </is>
      </c>
      <c r="B5" s="2" t="n">
        <v>0.6</v>
      </c>
    </row>
    <row r="6">
      <c r="A6" t="inlineStr">
        <is>
          <t>Cluster review: class cluster average below</t>
        </is>
      </c>
      <c r="B6" s="2" t="n">
        <v>0.7</v>
      </c>
    </row>
    <row r="7">
      <c r="A7" t="inlineStr">
        <is>
          <t>Group share in Intervention band that triggers a group plan</t>
        </is>
      </c>
      <c r="B7" s="2" t="n">
        <v>0.3</v>
      </c>
    </row>
    <row r="8">
      <c r="A8" t="inlineStr">
        <is>
          <t>Students flagged on the same cluster that trigger a group plan</t>
        </is>
      </c>
      <c r="B8" s="3" t="n">
        <v>2</v>
      </c>
    </row>
    <row r="10">
      <c r="A10" s="4" t="inlineStr">
        <is>
          <t>Change a yellow cell and every sheet updates. Defaults follow the answer key (section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Group readiness and intervention decision</t>
        </is>
      </c>
    </row>
    <row r="3">
      <c r="A3" t="inlineStr">
        <is>
          <t>Students with marks entered</t>
        </is>
      </c>
      <c r="B3">
        <f>COUNT(Marks!$AF$7:$AF$18)</f>
        <v/>
      </c>
    </row>
    <row r="4">
      <c r="A4" t="inlineStr">
        <is>
          <t>Class average total</t>
        </is>
      </c>
      <c r="B4" s="5">
        <f>IF(B3=0,"",AVERAGE(Marks!$AG$7:$AG$18))</f>
        <v/>
      </c>
    </row>
    <row r="5">
      <c r="A5" t="inlineStr">
        <is>
          <t>Students in Ready band</t>
        </is>
      </c>
      <c r="B5">
        <f>COUNTIF(Marks!$AP$7:$AP$18,"Ready")</f>
        <v/>
      </c>
    </row>
    <row r="6">
      <c r="A6" t="inlineStr">
        <is>
          <t>Students in Developing band</t>
        </is>
      </c>
      <c r="B6">
        <f>COUNTIF(Marks!$AP$7:$AP$18,"Developing")</f>
        <v/>
      </c>
    </row>
    <row r="7">
      <c r="A7" t="inlineStr">
        <is>
          <t>Students in Intervention band</t>
        </is>
      </c>
      <c r="B7">
        <f>COUNTIF(Marks!$AP$7:$AP$18,"Intervention")</f>
        <v/>
      </c>
    </row>
    <row r="8">
      <c r="A8" t="inlineStr">
        <is>
          <t>Share of group in Intervention band</t>
        </is>
      </c>
      <c r="B8" s="6">
        <f>IF(B3=0,"",B7/B3)</f>
        <v/>
      </c>
    </row>
    <row r="10">
      <c r="A10" s="7" t="inlineStr">
        <is>
          <t>Cluster</t>
        </is>
      </c>
      <c r="B10" s="7" t="inlineStr">
        <is>
          <t>Lessons</t>
        </is>
      </c>
      <c r="C10" s="7" t="inlineStr">
        <is>
          <t>Class average</t>
        </is>
      </c>
      <c r="D10" s="7" t="inlineStr">
        <is>
          <t>Below class threshold?</t>
        </is>
      </c>
      <c r="E10" s="7" t="inlineStr">
        <is>
          <t>Students flagged</t>
        </is>
      </c>
    </row>
    <row r="11">
      <c r="A11" t="inlineStr">
        <is>
          <t>C1 Rates of change and concavity</t>
        </is>
      </c>
      <c r="B11" t="inlineStr">
        <is>
          <t>1.1 to 1.4</t>
        </is>
      </c>
      <c r="C11" s="6">
        <f>IF($B$3=0,"",AVERAGE(Marks!$AM$7:$AM$18))</f>
        <v/>
      </c>
      <c r="D11">
        <f>IF($B$3=0,"",IF(C11&lt;Settings!$B$6,"Yes","No"))</f>
        <v/>
      </c>
      <c r="E11">
        <f>COUNTIF(Marks!$AQ$7:$AQ$18,"*C1*")</f>
        <v/>
      </c>
    </row>
    <row r="12">
      <c r="A12" t="inlineStr">
        <is>
          <t>C2 Polynomial zeros and end behavior</t>
        </is>
      </c>
      <c r="B12" t="inlineStr">
        <is>
          <t>1.5 to 1.6</t>
        </is>
      </c>
      <c r="C12" s="6">
        <f>IF($B$3=0,"",AVERAGE(Marks!$AN$7:$AN$18))</f>
        <v/>
      </c>
      <c r="D12">
        <f>IF($B$3=0,"",IF(C12&lt;Settings!$B$6,"Yes","No"))</f>
        <v/>
      </c>
      <c r="E12">
        <f>COUNTIF(Marks!$AQ$7:$AQ$18,"*C2*")</f>
        <v/>
      </c>
    </row>
    <row r="13">
      <c r="A13" t="inlineStr">
        <is>
          <t>C3 Rational functions</t>
        </is>
      </c>
      <c r="B13" t="inlineStr">
        <is>
          <t>1.7 to 1.10</t>
        </is>
      </c>
      <c r="C13" s="6">
        <f>IF($B$3=0,"",AVERAGE(Marks!$AO$7:$AO$18))</f>
        <v/>
      </c>
      <c r="D13">
        <f>IF($B$3=0,"",IF(C13&lt;Settings!$B$6,"Yes","No"))</f>
        <v/>
      </c>
      <c r="E13">
        <f>COUNTIF(Marks!$AQ$7:$AQ$18,"*C3*")</f>
        <v/>
      </c>
    </row>
    <row r="15">
      <c r="A15" s="8" t="inlineStr">
        <is>
          <t>Triggers met</t>
        </is>
      </c>
    </row>
    <row r="16">
      <c r="A16" t="inlineStr">
        <is>
          <t>Intervention share at or above threshold</t>
        </is>
      </c>
      <c r="B16">
        <f>IF(B3=0,"",IF(B8&gt;=Settings!$B$7,"Yes","No"))</f>
        <v/>
      </c>
    </row>
    <row r="17">
      <c r="A17" t="inlineStr">
        <is>
          <t>A cluster average below threshold</t>
        </is>
      </c>
      <c r="B17">
        <f>IF(B3=0,"",IF(COUNTIF(D11:D13,"Yes")&gt;0,"Yes","No"))</f>
        <v/>
      </c>
    </row>
    <row r="18">
      <c r="A18" t="inlineStr">
        <is>
          <t>Same cluster flagged for enough students</t>
        </is>
      </c>
      <c r="B18">
        <f>IF(B3=0,"",IF(MAX(E11:E13)&gt;=Settings!$B$8,"Yes","No"))</f>
        <v/>
      </c>
    </row>
    <row r="20">
      <c r="A20" s="9" t="inlineStr">
        <is>
          <t>DECISION</t>
        </is>
      </c>
      <c r="B20" s="10">
        <f>IF(B3=0,"Enter marks first",IF(COUNTIF(B16:B18,"Yes")&gt;0,"INTERVENTION PLAN REQUIRED","No group intervention: individual clinics only"))</f>
        <v/>
      </c>
    </row>
    <row r="21">
      <c r="A21" t="inlineStr">
        <is>
          <t>Weakest cluster to reteach first</t>
        </is>
      </c>
      <c r="B21">
        <f>IF(B3=0,"",INDEX(A11:A13,MATCH(MIN(C11:C13),C11:C13,0)))</f>
        <v/>
      </c>
    </row>
    <row r="23">
      <c r="A23" s="8" t="inlineStr">
        <is>
          <t>Mastery by lesson</t>
        </is>
      </c>
    </row>
    <row r="24">
      <c r="A24" s="11" t="inlineStr">
        <is>
          <t>Lesson</t>
        </is>
      </c>
      <c r="B24" s="11" t="inlineStr">
        <is>
          <t>Marks available</t>
        </is>
      </c>
      <c r="C24" s="11" t="inlineStr">
        <is>
          <t>Class % earned</t>
        </is>
      </c>
    </row>
    <row r="25">
      <c r="A25" t="inlineStr">
        <is>
          <t>1.1</t>
        </is>
      </c>
      <c r="B25">
        <f>SUMIF(Marks!$C$3:$AE$3,A25,Marks!$C$5:$AE$5)</f>
        <v/>
      </c>
      <c r="C25" s="6">
        <f>IF($B$3=0,"",SUMPRODUCT((Marks!$C$3:$AE$3=A25)*Marks!$C$7:$AE$18)/(B25*$B$3))</f>
        <v/>
      </c>
    </row>
    <row r="26">
      <c r="A26" t="inlineStr">
        <is>
          <t>1.2</t>
        </is>
      </c>
      <c r="B26">
        <f>SUMIF(Marks!$C$3:$AE$3,A26,Marks!$C$5:$AE$5)</f>
        <v/>
      </c>
      <c r="C26" s="6">
        <f>IF($B$3=0,"",SUMPRODUCT((Marks!$C$3:$AE$3=A26)*Marks!$C$7:$AE$18)/(B26*$B$3))</f>
        <v/>
      </c>
    </row>
    <row r="27">
      <c r="A27" t="inlineStr">
        <is>
          <t>1.3</t>
        </is>
      </c>
      <c r="B27">
        <f>SUMIF(Marks!$C$3:$AE$3,A27,Marks!$C$5:$AE$5)</f>
        <v/>
      </c>
      <c r="C27" s="6">
        <f>IF($B$3=0,"",SUMPRODUCT((Marks!$C$3:$AE$3=A27)*Marks!$C$7:$AE$18)/(B27*$B$3))</f>
        <v/>
      </c>
    </row>
    <row r="28">
      <c r="A28" t="inlineStr">
        <is>
          <t>1.4</t>
        </is>
      </c>
      <c r="B28">
        <f>SUMIF(Marks!$C$3:$AE$3,A28,Marks!$C$5:$AE$5)</f>
        <v/>
      </c>
      <c r="C28" s="6">
        <f>IF($B$3=0,"",SUMPRODUCT((Marks!$C$3:$AE$3=A28)*Marks!$C$7:$AE$18)/(B28*$B$3))</f>
        <v/>
      </c>
    </row>
    <row r="29">
      <c r="A29" t="inlineStr">
        <is>
          <t>1.5</t>
        </is>
      </c>
      <c r="B29">
        <f>SUMIF(Marks!$C$3:$AE$3,A29,Marks!$C$5:$AE$5)</f>
        <v/>
      </c>
      <c r="C29" s="6">
        <f>IF($B$3=0,"",SUMPRODUCT((Marks!$C$3:$AE$3=A29)*Marks!$C$7:$AE$18)/(B29*$B$3))</f>
        <v/>
      </c>
    </row>
    <row r="30">
      <c r="A30" t="inlineStr">
        <is>
          <t>1.6</t>
        </is>
      </c>
      <c r="B30">
        <f>SUMIF(Marks!$C$3:$AE$3,A30,Marks!$C$5:$AE$5)</f>
        <v/>
      </c>
      <c r="C30" s="6">
        <f>IF($B$3=0,"",SUMPRODUCT((Marks!$C$3:$AE$3=A30)*Marks!$C$7:$AE$18)/(B30*$B$3))</f>
        <v/>
      </c>
    </row>
    <row r="31">
      <c r="A31" t="inlineStr">
        <is>
          <t>1.7</t>
        </is>
      </c>
      <c r="B31">
        <f>SUMIF(Marks!$C$3:$AE$3,A31,Marks!$C$5:$AE$5)</f>
        <v/>
      </c>
      <c r="C31" s="6">
        <f>IF($B$3=0,"",SUMPRODUCT((Marks!$C$3:$AE$3=A31)*Marks!$C$7:$AE$18)/(B31*$B$3))</f>
        <v/>
      </c>
    </row>
    <row r="32">
      <c r="A32" t="inlineStr">
        <is>
          <t>1.8</t>
        </is>
      </c>
      <c r="B32">
        <f>SUMIF(Marks!$C$3:$AE$3,A32,Marks!$C$5:$AE$5)</f>
        <v/>
      </c>
      <c r="C32" s="6">
        <f>IF($B$3=0,"",SUMPRODUCT((Marks!$C$3:$AE$3=A32)*Marks!$C$7:$AE$18)/(B32*$B$3))</f>
        <v/>
      </c>
    </row>
    <row r="33">
      <c r="A33" t="inlineStr">
        <is>
          <t>1.9</t>
        </is>
      </c>
      <c r="B33">
        <f>SUMIF(Marks!$C$3:$AE$3,A33,Marks!$C$5:$AE$5)</f>
        <v/>
      </c>
      <c r="C33" s="6">
        <f>IF($B$3=0,"",SUMPRODUCT((Marks!$C$3:$AE$3=A33)*Marks!$C$7:$AE$18)/(B33*$B$3))</f>
        <v/>
      </c>
    </row>
    <row r="34">
      <c r="A34" t="inlineStr">
        <is>
          <t>1.10</t>
        </is>
      </c>
      <c r="B34">
        <f>SUMIF(Marks!$C$3:$AE$3,A34,Marks!$C$5:$AE$5)</f>
        <v/>
      </c>
      <c r="C34" s="6">
        <f>IF($B$3=0,"",SUMPRODUCT((Marks!$C$3:$AE$3=A34)*Marks!$C$7:$AE$18)/(B34*$B$3))</f>
        <v/>
      </c>
    </row>
    <row r="36">
      <c r="A36" s="4" t="inlineStr">
        <is>
          <t>Mark map: C1 = lessons 1.1 to 1.4 (15 marks), C2 = 1.5 to 1.6 (6 marks), C3 = 1.7 to 1.10 (8 marks).</t>
        </is>
      </c>
    </row>
  </sheetData>
  <conditionalFormatting sqref="B20">
    <cfRule type="expression" priority="1" dxfId="0">
      <formula>LEFT($B$20,12)="INTERVENTION"</formula>
    </cfRule>
    <cfRule type="expression" priority="2" dxfId="1">
      <formula>LEFT($B$20,2)="No"</formula>
    </cfRule>
  </conditionalFormatting>
  <conditionalFormatting sqref="C25:C34">
    <cfRule type="cellIs" priority="3" operator="lessThan" dxfId="0">
      <formula>Settings!$B$6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6" customWidth="1" min="43" max="43"/>
  </cols>
  <sheetData>
    <row r="1">
      <c r="A1" s="12" t="inlineStr">
        <is>
          <t>Marks entry: type 1 for a mark earned and 0 for a mark not earned in each part (yellow cells only).</t>
        </is>
      </c>
    </row>
    <row r="3">
      <c r="A3" s="13" t="inlineStr">
        <is>
          <t>Lesson</t>
        </is>
      </c>
      <c r="B3" s="13" t="n"/>
      <c r="C3" s="13" t="inlineStr">
        <is>
          <t>1.3</t>
        </is>
      </c>
      <c r="D3" s="13" t="inlineStr">
        <is>
          <t>1.3</t>
        </is>
      </c>
      <c r="E3" s="13" t="inlineStr">
        <is>
          <t>1.2</t>
        </is>
      </c>
      <c r="F3" s="13" t="inlineStr">
        <is>
          <t>1.2</t>
        </is>
      </c>
      <c r="G3" s="13" t="inlineStr">
        <is>
          <t>1.4</t>
        </is>
      </c>
      <c r="H3" s="13" t="inlineStr">
        <is>
          <t>1.3</t>
        </is>
      </c>
      <c r="I3" s="13" t="inlineStr">
        <is>
          <t>1.2</t>
        </is>
      </c>
      <c r="J3" s="13" t="inlineStr">
        <is>
          <t>1.2</t>
        </is>
      </c>
      <c r="K3" s="13" t="inlineStr">
        <is>
          <t>1.4</t>
        </is>
      </c>
      <c r="L3" s="13" t="inlineStr">
        <is>
          <t>1.2</t>
        </is>
      </c>
      <c r="M3" s="13" t="inlineStr">
        <is>
          <t>1.2</t>
        </is>
      </c>
      <c r="N3" s="13" t="inlineStr">
        <is>
          <t>1.4</t>
        </is>
      </c>
      <c r="O3" s="13" t="inlineStr">
        <is>
          <t>1.5</t>
        </is>
      </c>
      <c r="P3" s="13" t="inlineStr">
        <is>
          <t>1.6</t>
        </is>
      </c>
      <c r="Q3" s="13" t="inlineStr">
        <is>
          <t>1.1</t>
        </is>
      </c>
      <c r="R3" s="13" t="inlineStr">
        <is>
          <t>1.2</t>
        </is>
      </c>
      <c r="S3" s="13" t="inlineStr">
        <is>
          <t>1.4</t>
        </is>
      </c>
      <c r="T3" s="13" t="inlineStr">
        <is>
          <t>1.5</t>
        </is>
      </c>
      <c r="U3" s="13" t="inlineStr">
        <is>
          <t>1.5</t>
        </is>
      </c>
      <c r="V3" s="13" t="inlineStr">
        <is>
          <t>1.6</t>
        </is>
      </c>
      <c r="W3" s="13" t="inlineStr">
        <is>
          <t>1.5</t>
        </is>
      </c>
      <c r="X3" s="13" t="inlineStr">
        <is>
          <t>1.10</t>
        </is>
      </c>
      <c r="Y3" s="13" t="inlineStr">
        <is>
          <t>1.10</t>
        </is>
      </c>
      <c r="Z3" s="13" t="inlineStr">
        <is>
          <t>1.8</t>
        </is>
      </c>
      <c r="AA3" s="13" t="inlineStr">
        <is>
          <t>1.8</t>
        </is>
      </c>
      <c r="AB3" s="13" t="inlineStr">
        <is>
          <t>1.9</t>
        </is>
      </c>
      <c r="AC3" s="13" t="inlineStr">
        <is>
          <t>1.9</t>
        </is>
      </c>
      <c r="AD3" s="13" t="inlineStr">
        <is>
          <t>1.7</t>
        </is>
      </c>
      <c r="AE3" s="13" t="inlineStr">
        <is>
          <t>1.7</t>
        </is>
      </c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</row>
    <row r="4">
      <c r="A4" s="13" t="inlineStr">
        <is>
          <t>Cluster</t>
        </is>
      </c>
      <c r="B4" s="13" t="n"/>
      <c r="C4" s="13" t="inlineStr">
        <is>
          <t>C1</t>
        </is>
      </c>
      <c r="D4" s="13" t="inlineStr">
        <is>
          <t>C1</t>
        </is>
      </c>
      <c r="E4" s="13" t="inlineStr">
        <is>
          <t>C1</t>
        </is>
      </c>
      <c r="F4" s="13" t="inlineStr">
        <is>
          <t>C1</t>
        </is>
      </c>
      <c r="G4" s="13" t="inlineStr">
        <is>
          <t>C1</t>
        </is>
      </c>
      <c r="H4" s="13" t="inlineStr">
        <is>
          <t>C1</t>
        </is>
      </c>
      <c r="I4" s="13" t="inlineStr">
        <is>
          <t>C1</t>
        </is>
      </c>
      <c r="J4" s="13" t="inlineStr">
        <is>
          <t>C1</t>
        </is>
      </c>
      <c r="K4" s="13" t="inlineStr">
        <is>
          <t>C1</t>
        </is>
      </c>
      <c r="L4" s="13" t="inlineStr">
        <is>
          <t>C1</t>
        </is>
      </c>
      <c r="M4" s="13" t="inlineStr">
        <is>
          <t>C1</t>
        </is>
      </c>
      <c r="N4" s="13" t="inlineStr">
        <is>
          <t>C1</t>
        </is>
      </c>
      <c r="O4" s="13" t="inlineStr">
        <is>
          <t>C2</t>
        </is>
      </c>
      <c r="P4" s="13" t="inlineStr">
        <is>
          <t>C2</t>
        </is>
      </c>
      <c r="Q4" s="13" t="inlineStr">
        <is>
          <t>C1</t>
        </is>
      </c>
      <c r="R4" s="13" t="inlineStr">
        <is>
          <t>C1</t>
        </is>
      </c>
      <c r="S4" s="13" t="inlineStr">
        <is>
          <t>C1</t>
        </is>
      </c>
      <c r="T4" s="13" t="inlineStr">
        <is>
          <t>C2</t>
        </is>
      </c>
      <c r="U4" s="13" t="inlineStr">
        <is>
          <t>C2</t>
        </is>
      </c>
      <c r="V4" s="13" t="inlineStr">
        <is>
          <t>C2</t>
        </is>
      </c>
      <c r="W4" s="13" t="inlineStr">
        <is>
          <t>C2</t>
        </is>
      </c>
      <c r="X4" s="13" t="inlineStr">
        <is>
          <t>C3</t>
        </is>
      </c>
      <c r="Y4" s="13" t="inlineStr">
        <is>
          <t>C3</t>
        </is>
      </c>
      <c r="Z4" s="13" t="inlineStr">
        <is>
          <t>C3</t>
        </is>
      </c>
      <c r="AA4" s="13" t="inlineStr">
        <is>
          <t>C3</t>
        </is>
      </c>
      <c r="AB4" s="13" t="inlineStr">
        <is>
          <t>C3</t>
        </is>
      </c>
      <c r="AC4" s="13" t="inlineStr">
        <is>
          <t>C3</t>
        </is>
      </c>
      <c r="AD4" s="13" t="inlineStr">
        <is>
          <t>C3</t>
        </is>
      </c>
      <c r="AE4" s="13" t="inlineStr">
        <is>
          <t>C3</t>
        </is>
      </c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</row>
    <row r="5">
      <c r="A5" s="13" t="inlineStr">
        <is>
          <t>Max marks</t>
        </is>
      </c>
      <c r="B5" s="13" t="n"/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13" t="n">
        <v>1</v>
      </c>
      <c r="M5" s="13" t="n">
        <v>1</v>
      </c>
      <c r="N5" s="13" t="n">
        <v>1</v>
      </c>
      <c r="O5" s="13" t="n">
        <v>1</v>
      </c>
      <c r="P5" s="13" t="n">
        <v>1</v>
      </c>
      <c r="Q5" s="13" t="n">
        <v>1</v>
      </c>
      <c r="R5" s="13" t="n">
        <v>1</v>
      </c>
      <c r="S5" s="13" t="n">
        <v>1</v>
      </c>
      <c r="T5" s="13" t="n">
        <v>1</v>
      </c>
      <c r="U5" s="13" t="n">
        <v>1</v>
      </c>
      <c r="V5" s="13" t="n">
        <v>1</v>
      </c>
      <c r="W5" s="13" t="n">
        <v>1</v>
      </c>
      <c r="X5" s="13" t="n">
        <v>1</v>
      </c>
      <c r="Y5" s="13" t="n">
        <v>1</v>
      </c>
      <c r="Z5" s="13" t="n">
        <v>1</v>
      </c>
      <c r="AA5" s="13" t="n">
        <v>1</v>
      </c>
      <c r="AB5" s="13" t="n">
        <v>1</v>
      </c>
      <c r="AC5" s="13" t="n">
        <v>1</v>
      </c>
      <c r="AD5" s="13" t="n">
        <v>1</v>
      </c>
      <c r="AE5" s="13" t="n">
        <v>1</v>
      </c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</row>
    <row r="6" ht="42" customHeight="1">
      <c r="A6" s="14" t="inlineStr">
        <is>
          <t>#</t>
        </is>
      </c>
      <c r="B6" s="14" t="inlineStr">
        <is>
          <t>Student</t>
        </is>
      </c>
      <c r="C6" s="14" t="inlineStr">
        <is>
          <t>Q1 A(i)</t>
        </is>
      </c>
      <c r="D6" s="14" t="inlineStr">
        <is>
          <t>Q1 A(ii)</t>
        </is>
      </c>
      <c r="E6" s="14" t="inlineStr">
        <is>
          <t>Q1 B(i)</t>
        </is>
      </c>
      <c r="F6" s="14" t="inlineStr">
        <is>
          <t>Q1 B(ii)</t>
        </is>
      </c>
      <c r="G6" s="14" t="inlineStr">
        <is>
          <t>Q1 B(iii)</t>
        </is>
      </c>
      <c r="H6" s="14" t="inlineStr">
        <is>
          <t>Q1 C</t>
        </is>
      </c>
      <c r="I6" s="14" t="inlineStr">
        <is>
          <t>Q2 B(i)</t>
        </is>
      </c>
      <c r="J6" s="14" t="inlineStr">
        <is>
          <t>Q2 B(ii)</t>
        </is>
      </c>
      <c r="K6" s="14" t="inlineStr">
        <is>
          <t>Q2 B(iii)</t>
        </is>
      </c>
      <c r="L6" s="14" t="inlineStr">
        <is>
          <t>Q3 B(i)</t>
        </is>
      </c>
      <c r="M6" s="14" t="inlineStr">
        <is>
          <t>Q3 B(ii)</t>
        </is>
      </c>
      <c r="N6" s="14" t="inlineStr">
        <is>
          <t>Q3 B(iii)</t>
        </is>
      </c>
      <c r="O6" s="14" t="inlineStr">
        <is>
          <t>Q4 B(i)</t>
        </is>
      </c>
      <c r="P6" s="14" t="inlineStr">
        <is>
          <t>Q4 B(ii)</t>
        </is>
      </c>
      <c r="Q6" s="14" t="inlineStr">
        <is>
          <t>Q5 A</t>
        </is>
      </c>
      <c r="R6" s="14" t="inlineStr">
        <is>
          <t>Q5 B</t>
        </is>
      </c>
      <c r="S6" s="14" t="inlineStr">
        <is>
          <t>Q5 C</t>
        </is>
      </c>
      <c r="T6" s="14" t="inlineStr">
        <is>
          <t>Q6 A</t>
        </is>
      </c>
      <c r="U6" s="14" t="inlineStr">
        <is>
          <t>Q6 B</t>
        </is>
      </c>
      <c r="V6" s="14" t="inlineStr">
        <is>
          <t>Q6 C</t>
        </is>
      </c>
      <c r="W6" s="14" t="inlineStr">
        <is>
          <t>Q6 D</t>
        </is>
      </c>
      <c r="X6" s="14" t="inlineStr">
        <is>
          <t>Q7 A(i)</t>
        </is>
      </c>
      <c r="Y6" s="14" t="inlineStr">
        <is>
          <t>Q7 A(ii)</t>
        </is>
      </c>
      <c r="Z6" s="14" t="inlineStr">
        <is>
          <t>Q7 B(i)</t>
        </is>
      </c>
      <c r="AA6" s="14" t="inlineStr">
        <is>
          <t>Q7 B(ii)</t>
        </is>
      </c>
      <c r="AB6" s="14" t="inlineStr">
        <is>
          <t>Q7 C(i)</t>
        </is>
      </c>
      <c r="AC6" s="14" t="inlineStr">
        <is>
          <t>Q7 C(ii)</t>
        </is>
      </c>
      <c r="AD6" s="14" t="inlineStr">
        <is>
          <t>Q7 D(i)</t>
        </is>
      </c>
      <c r="AE6" s="14" t="inlineStr">
        <is>
          <t>Q7 D(ii)</t>
        </is>
      </c>
      <c r="AF6" s="14" t="inlineStr">
        <is>
          <t>Total /29</t>
        </is>
      </c>
      <c r="AG6" s="14" t="inlineStr">
        <is>
          <t>Total %</t>
        </is>
      </c>
      <c r="AH6" s="14" t="inlineStr">
        <is>
          <t>Part A /14</t>
        </is>
      </c>
      <c r="AI6" s="14" t="inlineStr">
        <is>
          <t>Part B /15</t>
        </is>
      </c>
      <c r="AJ6" s="14" t="inlineStr">
        <is>
          <t>C1 /15</t>
        </is>
      </c>
      <c r="AK6" s="14" t="inlineStr">
        <is>
          <t>C2 /6</t>
        </is>
      </c>
      <c r="AL6" s="14" t="inlineStr">
        <is>
          <t>C3 /8</t>
        </is>
      </c>
      <c r="AM6" s="14" t="inlineStr">
        <is>
          <t>C1 %</t>
        </is>
      </c>
      <c r="AN6" s="14" t="inlineStr">
        <is>
          <t>C2 %</t>
        </is>
      </c>
      <c r="AO6" s="14" t="inlineStr">
        <is>
          <t>C3 %</t>
        </is>
      </c>
      <c r="AP6" s="14" t="inlineStr">
        <is>
          <t>Band</t>
        </is>
      </c>
      <c r="AQ6" s="14" t="inlineStr">
        <is>
          <t>Flagged clusters</t>
        </is>
      </c>
    </row>
    <row r="7">
      <c r="A7" t="n">
        <v>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>
        <f>IF(COUNT(C7:AE7)=0,"",SUM(C7:AE7))</f>
        <v/>
      </c>
      <c r="AG7" s="6">
        <f>IF(AF7="","",AF7/SUM($C$5:$AE$5))</f>
        <v/>
      </c>
      <c r="AH7">
        <f>IF(AF7="","",SUM(C7:P7))</f>
        <v/>
      </c>
      <c r="AI7">
        <f>IF(AF7="","",SUM(Q7:AE7))</f>
        <v/>
      </c>
      <c r="AJ7">
        <f>IF(AF7="","",SUMIF($C$4:$AE$4,"C1",C7:AE7))</f>
        <v/>
      </c>
      <c r="AK7">
        <f>IF(AF7="","",SUMIF($C$4:$AE$4,"C2",C7:AE7))</f>
        <v/>
      </c>
      <c r="AL7">
        <f>IF(AF7="","",SUMIF($C$4:$AE$4,"C3",C7:AE7))</f>
        <v/>
      </c>
      <c r="AM7" s="6">
        <f>IF(AF7="","",AJ7/SUMIF($C$4:$AE$4,"C1",$C$5:$AE$5))</f>
        <v/>
      </c>
      <c r="AN7" s="6">
        <f>IF(AF7="","",AK7/SUMIF($C$4:$AE$4,"C2",$C$5:$AE$5))</f>
        <v/>
      </c>
      <c r="AO7" s="6">
        <f>IF(AF7="","",AL7/SUMIF($C$4:$AE$4,"C3",$C$5:$AE$5))</f>
        <v/>
      </c>
      <c r="AP7">
        <f>IF(AF7="","",IF(AG7&gt;=Settings!$B$3,"Ready",IF(AG7&gt;=Settings!$B$4,"Developing","Intervention")))</f>
        <v/>
      </c>
      <c r="AQ7">
        <f>IF(AF7="","",TRIM(IF(AM7&lt;Settings!$B$5,"C1 ","")&amp;IF(AN7&lt;Settings!$B$5,"C2 ","")&amp;IF(AO7&lt;Settings!$B$5,"C3","")))</f>
        <v/>
      </c>
    </row>
    <row r="8">
      <c r="A8" t="n">
        <v>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>
        <f>IF(COUNT(C8:AE8)=0,"",SUM(C8:AE8))</f>
        <v/>
      </c>
      <c r="AG8" s="6">
        <f>IF(AF8="","",AF8/SUM($C$5:$AE$5))</f>
        <v/>
      </c>
      <c r="AH8">
        <f>IF(AF8="","",SUM(C8:P8))</f>
        <v/>
      </c>
      <c r="AI8">
        <f>IF(AF8="","",SUM(Q8:AE8))</f>
        <v/>
      </c>
      <c r="AJ8">
        <f>IF(AF8="","",SUMIF($C$4:$AE$4,"C1",C8:AE8))</f>
        <v/>
      </c>
      <c r="AK8">
        <f>IF(AF8="","",SUMIF($C$4:$AE$4,"C2",C8:AE8))</f>
        <v/>
      </c>
      <c r="AL8">
        <f>IF(AF8="","",SUMIF($C$4:$AE$4,"C3",C8:AE8))</f>
        <v/>
      </c>
      <c r="AM8" s="6">
        <f>IF(AF8="","",AJ8/SUMIF($C$4:$AE$4,"C1",$C$5:$AE$5))</f>
        <v/>
      </c>
      <c r="AN8" s="6">
        <f>IF(AF8="","",AK8/SUMIF($C$4:$AE$4,"C2",$C$5:$AE$5))</f>
        <v/>
      </c>
      <c r="AO8" s="6">
        <f>IF(AF8="","",AL8/SUMIF($C$4:$AE$4,"C3",$C$5:$AE$5))</f>
        <v/>
      </c>
      <c r="AP8">
        <f>IF(AF8="","",IF(AG8&gt;=Settings!$B$3,"Ready",IF(AG8&gt;=Settings!$B$4,"Developing","Intervention")))</f>
        <v/>
      </c>
      <c r="AQ8">
        <f>IF(AF8="","",TRIM(IF(AM8&lt;Settings!$B$5,"C1 ","")&amp;IF(AN8&lt;Settings!$B$5,"C2 ","")&amp;IF(AO8&lt;Settings!$B$5,"C3","")))</f>
        <v/>
      </c>
    </row>
    <row r="9">
      <c r="A9" t="n">
        <v>3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>
        <f>IF(COUNT(C9:AE9)=0,"",SUM(C9:AE9))</f>
        <v/>
      </c>
      <c r="AG9" s="6">
        <f>IF(AF9="","",AF9/SUM($C$5:$AE$5))</f>
        <v/>
      </c>
      <c r="AH9">
        <f>IF(AF9="","",SUM(C9:P9))</f>
        <v/>
      </c>
      <c r="AI9">
        <f>IF(AF9="","",SUM(Q9:AE9))</f>
        <v/>
      </c>
      <c r="AJ9">
        <f>IF(AF9="","",SUMIF($C$4:$AE$4,"C1",C9:AE9))</f>
        <v/>
      </c>
      <c r="AK9">
        <f>IF(AF9="","",SUMIF($C$4:$AE$4,"C2",C9:AE9))</f>
        <v/>
      </c>
      <c r="AL9">
        <f>IF(AF9="","",SUMIF($C$4:$AE$4,"C3",C9:AE9))</f>
        <v/>
      </c>
      <c r="AM9" s="6">
        <f>IF(AF9="","",AJ9/SUMIF($C$4:$AE$4,"C1",$C$5:$AE$5))</f>
        <v/>
      </c>
      <c r="AN9" s="6">
        <f>IF(AF9="","",AK9/SUMIF($C$4:$AE$4,"C2",$C$5:$AE$5))</f>
        <v/>
      </c>
      <c r="AO9" s="6">
        <f>IF(AF9="","",AL9/SUMIF($C$4:$AE$4,"C3",$C$5:$AE$5))</f>
        <v/>
      </c>
      <c r="AP9">
        <f>IF(AF9="","",IF(AG9&gt;=Settings!$B$3,"Ready",IF(AG9&gt;=Settings!$B$4,"Developing","Intervention")))</f>
        <v/>
      </c>
      <c r="AQ9">
        <f>IF(AF9="","",TRIM(IF(AM9&lt;Settings!$B$5,"C1 ","")&amp;IF(AN9&lt;Settings!$B$5,"C2 ","")&amp;IF(AO9&lt;Settings!$B$5,"C3","")))</f>
        <v/>
      </c>
    </row>
    <row r="10">
      <c r="A10" t="n">
        <v>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>
        <f>IF(COUNT(C10:AE10)=0,"",SUM(C10:AE10))</f>
        <v/>
      </c>
      <c r="AG10" s="6">
        <f>IF(AF10="","",AF10/SUM($C$5:$AE$5))</f>
        <v/>
      </c>
      <c r="AH10">
        <f>IF(AF10="","",SUM(C10:P10))</f>
        <v/>
      </c>
      <c r="AI10">
        <f>IF(AF10="","",SUM(Q10:AE10))</f>
        <v/>
      </c>
      <c r="AJ10">
        <f>IF(AF10="","",SUMIF($C$4:$AE$4,"C1",C10:AE10))</f>
        <v/>
      </c>
      <c r="AK10">
        <f>IF(AF10="","",SUMIF($C$4:$AE$4,"C2",C10:AE10))</f>
        <v/>
      </c>
      <c r="AL10">
        <f>IF(AF10="","",SUMIF($C$4:$AE$4,"C3",C10:AE10))</f>
        <v/>
      </c>
      <c r="AM10" s="6">
        <f>IF(AF10="","",AJ10/SUMIF($C$4:$AE$4,"C1",$C$5:$AE$5))</f>
        <v/>
      </c>
      <c r="AN10" s="6">
        <f>IF(AF10="","",AK10/SUMIF($C$4:$AE$4,"C2",$C$5:$AE$5))</f>
        <v/>
      </c>
      <c r="AO10" s="6">
        <f>IF(AF10="","",AL10/SUMIF($C$4:$AE$4,"C3",$C$5:$AE$5))</f>
        <v/>
      </c>
      <c r="AP10">
        <f>IF(AF10="","",IF(AG10&gt;=Settings!$B$3,"Ready",IF(AG10&gt;=Settings!$B$4,"Developing","Intervention")))</f>
        <v/>
      </c>
      <c r="AQ10">
        <f>IF(AF10="","",TRIM(IF(AM10&lt;Settings!$B$5,"C1 ","")&amp;IF(AN10&lt;Settings!$B$5,"C2 ","")&amp;IF(AO10&lt;Settings!$B$5,"C3","")))</f>
        <v/>
      </c>
    </row>
    <row r="11">
      <c r="A11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>
        <f>IF(COUNT(C11:AE11)=0,"",SUM(C11:AE11))</f>
        <v/>
      </c>
      <c r="AG11" s="6">
        <f>IF(AF11="","",AF11/SUM($C$5:$AE$5))</f>
        <v/>
      </c>
      <c r="AH11">
        <f>IF(AF11="","",SUM(C11:P11))</f>
        <v/>
      </c>
      <c r="AI11">
        <f>IF(AF11="","",SUM(Q11:AE11))</f>
        <v/>
      </c>
      <c r="AJ11">
        <f>IF(AF11="","",SUMIF($C$4:$AE$4,"C1",C11:AE11))</f>
        <v/>
      </c>
      <c r="AK11">
        <f>IF(AF11="","",SUMIF($C$4:$AE$4,"C2",C11:AE11))</f>
        <v/>
      </c>
      <c r="AL11">
        <f>IF(AF11="","",SUMIF($C$4:$AE$4,"C3",C11:AE11))</f>
        <v/>
      </c>
      <c r="AM11" s="6">
        <f>IF(AF11="","",AJ11/SUMIF($C$4:$AE$4,"C1",$C$5:$AE$5))</f>
        <v/>
      </c>
      <c r="AN11" s="6">
        <f>IF(AF11="","",AK11/SUMIF($C$4:$AE$4,"C2",$C$5:$AE$5))</f>
        <v/>
      </c>
      <c r="AO11" s="6">
        <f>IF(AF11="","",AL11/SUMIF($C$4:$AE$4,"C3",$C$5:$AE$5))</f>
        <v/>
      </c>
      <c r="AP11">
        <f>IF(AF11="","",IF(AG11&gt;=Settings!$B$3,"Ready",IF(AG11&gt;=Settings!$B$4,"Developing","Intervention")))</f>
        <v/>
      </c>
      <c r="AQ11">
        <f>IF(AF11="","",TRIM(IF(AM11&lt;Settings!$B$5,"C1 ","")&amp;IF(AN11&lt;Settings!$B$5,"C2 ","")&amp;IF(AO11&lt;Settings!$B$5,"C3","")))</f>
        <v/>
      </c>
    </row>
    <row r="12">
      <c r="A12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>
        <f>IF(COUNT(C12:AE12)=0,"",SUM(C12:AE12))</f>
        <v/>
      </c>
      <c r="AG12" s="6">
        <f>IF(AF12="","",AF12/SUM($C$5:$AE$5))</f>
        <v/>
      </c>
      <c r="AH12">
        <f>IF(AF12="","",SUM(C12:P12))</f>
        <v/>
      </c>
      <c r="AI12">
        <f>IF(AF12="","",SUM(Q12:AE12))</f>
        <v/>
      </c>
      <c r="AJ12">
        <f>IF(AF12="","",SUMIF($C$4:$AE$4,"C1",C12:AE12))</f>
        <v/>
      </c>
      <c r="AK12">
        <f>IF(AF12="","",SUMIF($C$4:$AE$4,"C2",C12:AE12))</f>
        <v/>
      </c>
      <c r="AL12">
        <f>IF(AF12="","",SUMIF($C$4:$AE$4,"C3",C12:AE12))</f>
        <v/>
      </c>
      <c r="AM12" s="6">
        <f>IF(AF12="","",AJ12/SUMIF($C$4:$AE$4,"C1",$C$5:$AE$5))</f>
        <v/>
      </c>
      <c r="AN12" s="6">
        <f>IF(AF12="","",AK12/SUMIF($C$4:$AE$4,"C2",$C$5:$AE$5))</f>
        <v/>
      </c>
      <c r="AO12" s="6">
        <f>IF(AF12="","",AL12/SUMIF($C$4:$AE$4,"C3",$C$5:$AE$5))</f>
        <v/>
      </c>
      <c r="AP12">
        <f>IF(AF12="","",IF(AG12&gt;=Settings!$B$3,"Ready",IF(AG12&gt;=Settings!$B$4,"Developing","Intervention")))</f>
        <v/>
      </c>
      <c r="AQ12">
        <f>IF(AF12="","",TRIM(IF(AM12&lt;Settings!$B$5,"C1 ","")&amp;IF(AN12&lt;Settings!$B$5,"C2 ","")&amp;IF(AO12&lt;Settings!$B$5,"C3","")))</f>
        <v/>
      </c>
    </row>
    <row r="13">
      <c r="A13" t="n">
        <v>7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>
        <f>IF(COUNT(C13:AE13)=0,"",SUM(C13:AE13))</f>
        <v/>
      </c>
      <c r="AG13" s="6">
        <f>IF(AF13="","",AF13/SUM($C$5:$AE$5))</f>
        <v/>
      </c>
      <c r="AH13">
        <f>IF(AF13="","",SUM(C13:P13))</f>
        <v/>
      </c>
      <c r="AI13">
        <f>IF(AF13="","",SUM(Q13:AE13))</f>
        <v/>
      </c>
      <c r="AJ13">
        <f>IF(AF13="","",SUMIF($C$4:$AE$4,"C1",C13:AE13))</f>
        <v/>
      </c>
      <c r="AK13">
        <f>IF(AF13="","",SUMIF($C$4:$AE$4,"C2",C13:AE13))</f>
        <v/>
      </c>
      <c r="AL13">
        <f>IF(AF13="","",SUMIF($C$4:$AE$4,"C3",C13:AE13))</f>
        <v/>
      </c>
      <c r="AM13" s="6">
        <f>IF(AF13="","",AJ13/SUMIF($C$4:$AE$4,"C1",$C$5:$AE$5))</f>
        <v/>
      </c>
      <c r="AN13" s="6">
        <f>IF(AF13="","",AK13/SUMIF($C$4:$AE$4,"C2",$C$5:$AE$5))</f>
        <v/>
      </c>
      <c r="AO13" s="6">
        <f>IF(AF13="","",AL13/SUMIF($C$4:$AE$4,"C3",$C$5:$AE$5))</f>
        <v/>
      </c>
      <c r="AP13">
        <f>IF(AF13="","",IF(AG13&gt;=Settings!$B$3,"Ready",IF(AG13&gt;=Settings!$B$4,"Developing","Intervention")))</f>
        <v/>
      </c>
      <c r="AQ13">
        <f>IF(AF13="","",TRIM(IF(AM13&lt;Settings!$B$5,"C1 ","")&amp;IF(AN13&lt;Settings!$B$5,"C2 ","")&amp;IF(AO13&lt;Settings!$B$5,"C3","")))</f>
        <v/>
      </c>
    </row>
    <row r="14">
      <c r="A14" t="n">
        <v>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>
        <f>IF(COUNT(C14:AE14)=0,"",SUM(C14:AE14))</f>
        <v/>
      </c>
      <c r="AG14" s="6">
        <f>IF(AF14="","",AF14/SUM($C$5:$AE$5))</f>
        <v/>
      </c>
      <c r="AH14">
        <f>IF(AF14="","",SUM(C14:P14))</f>
        <v/>
      </c>
      <c r="AI14">
        <f>IF(AF14="","",SUM(Q14:AE14))</f>
        <v/>
      </c>
      <c r="AJ14">
        <f>IF(AF14="","",SUMIF($C$4:$AE$4,"C1",C14:AE14))</f>
        <v/>
      </c>
      <c r="AK14">
        <f>IF(AF14="","",SUMIF($C$4:$AE$4,"C2",C14:AE14))</f>
        <v/>
      </c>
      <c r="AL14">
        <f>IF(AF14="","",SUMIF($C$4:$AE$4,"C3",C14:AE14))</f>
        <v/>
      </c>
      <c r="AM14" s="6">
        <f>IF(AF14="","",AJ14/SUMIF($C$4:$AE$4,"C1",$C$5:$AE$5))</f>
        <v/>
      </c>
      <c r="AN14" s="6">
        <f>IF(AF14="","",AK14/SUMIF($C$4:$AE$4,"C2",$C$5:$AE$5))</f>
        <v/>
      </c>
      <c r="AO14" s="6">
        <f>IF(AF14="","",AL14/SUMIF($C$4:$AE$4,"C3",$C$5:$AE$5))</f>
        <v/>
      </c>
      <c r="AP14">
        <f>IF(AF14="","",IF(AG14&gt;=Settings!$B$3,"Ready",IF(AG14&gt;=Settings!$B$4,"Developing","Intervention")))</f>
        <v/>
      </c>
      <c r="AQ14">
        <f>IF(AF14="","",TRIM(IF(AM14&lt;Settings!$B$5,"C1 ","")&amp;IF(AN14&lt;Settings!$B$5,"C2 ","")&amp;IF(AO14&lt;Settings!$B$5,"C3","")))</f>
        <v/>
      </c>
    </row>
    <row r="15">
      <c r="A15" t="n">
        <v>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>
        <f>IF(COUNT(C15:AE15)=0,"",SUM(C15:AE15))</f>
        <v/>
      </c>
      <c r="AG15" s="6">
        <f>IF(AF15="","",AF15/SUM($C$5:$AE$5))</f>
        <v/>
      </c>
      <c r="AH15">
        <f>IF(AF15="","",SUM(C15:P15))</f>
        <v/>
      </c>
      <c r="AI15">
        <f>IF(AF15="","",SUM(Q15:AE15))</f>
        <v/>
      </c>
      <c r="AJ15">
        <f>IF(AF15="","",SUMIF($C$4:$AE$4,"C1",C15:AE15))</f>
        <v/>
      </c>
      <c r="AK15">
        <f>IF(AF15="","",SUMIF($C$4:$AE$4,"C2",C15:AE15))</f>
        <v/>
      </c>
      <c r="AL15">
        <f>IF(AF15="","",SUMIF($C$4:$AE$4,"C3",C15:AE15))</f>
        <v/>
      </c>
      <c r="AM15" s="6">
        <f>IF(AF15="","",AJ15/SUMIF($C$4:$AE$4,"C1",$C$5:$AE$5))</f>
        <v/>
      </c>
      <c r="AN15" s="6">
        <f>IF(AF15="","",AK15/SUMIF($C$4:$AE$4,"C2",$C$5:$AE$5))</f>
        <v/>
      </c>
      <c r="AO15" s="6">
        <f>IF(AF15="","",AL15/SUMIF($C$4:$AE$4,"C3",$C$5:$AE$5))</f>
        <v/>
      </c>
      <c r="AP15">
        <f>IF(AF15="","",IF(AG15&gt;=Settings!$B$3,"Ready",IF(AG15&gt;=Settings!$B$4,"Developing","Intervention")))</f>
        <v/>
      </c>
      <c r="AQ15">
        <f>IF(AF15="","",TRIM(IF(AM15&lt;Settings!$B$5,"C1 ","")&amp;IF(AN15&lt;Settings!$B$5,"C2 ","")&amp;IF(AO15&lt;Settings!$B$5,"C3","")))</f>
        <v/>
      </c>
    </row>
    <row r="16">
      <c r="A16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>
        <f>IF(COUNT(C16:AE16)=0,"",SUM(C16:AE16))</f>
        <v/>
      </c>
      <c r="AG16" s="6">
        <f>IF(AF16="","",AF16/SUM($C$5:$AE$5))</f>
        <v/>
      </c>
      <c r="AH16">
        <f>IF(AF16="","",SUM(C16:P16))</f>
        <v/>
      </c>
      <c r="AI16">
        <f>IF(AF16="","",SUM(Q16:AE16))</f>
        <v/>
      </c>
      <c r="AJ16">
        <f>IF(AF16="","",SUMIF($C$4:$AE$4,"C1",C16:AE16))</f>
        <v/>
      </c>
      <c r="AK16">
        <f>IF(AF16="","",SUMIF($C$4:$AE$4,"C2",C16:AE16))</f>
        <v/>
      </c>
      <c r="AL16">
        <f>IF(AF16="","",SUMIF($C$4:$AE$4,"C3",C16:AE16))</f>
        <v/>
      </c>
      <c r="AM16" s="6">
        <f>IF(AF16="","",AJ16/SUMIF($C$4:$AE$4,"C1",$C$5:$AE$5))</f>
        <v/>
      </c>
      <c r="AN16" s="6">
        <f>IF(AF16="","",AK16/SUMIF($C$4:$AE$4,"C2",$C$5:$AE$5))</f>
        <v/>
      </c>
      <c r="AO16" s="6">
        <f>IF(AF16="","",AL16/SUMIF($C$4:$AE$4,"C3",$C$5:$AE$5))</f>
        <v/>
      </c>
      <c r="AP16">
        <f>IF(AF16="","",IF(AG16&gt;=Settings!$B$3,"Ready",IF(AG16&gt;=Settings!$B$4,"Developing","Intervention")))</f>
        <v/>
      </c>
      <c r="AQ16">
        <f>IF(AF16="","",TRIM(IF(AM16&lt;Settings!$B$5,"C1 ","")&amp;IF(AN16&lt;Settings!$B$5,"C2 ","")&amp;IF(AO16&lt;Settings!$B$5,"C3","")))</f>
        <v/>
      </c>
    </row>
    <row r="17">
      <c r="A17" t="n">
        <v>11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>
        <f>IF(COUNT(C17:AE17)=0,"",SUM(C17:AE17))</f>
        <v/>
      </c>
      <c r="AG17" s="6">
        <f>IF(AF17="","",AF17/SUM($C$5:$AE$5))</f>
        <v/>
      </c>
      <c r="AH17">
        <f>IF(AF17="","",SUM(C17:P17))</f>
        <v/>
      </c>
      <c r="AI17">
        <f>IF(AF17="","",SUM(Q17:AE17))</f>
        <v/>
      </c>
      <c r="AJ17">
        <f>IF(AF17="","",SUMIF($C$4:$AE$4,"C1",C17:AE17))</f>
        <v/>
      </c>
      <c r="AK17">
        <f>IF(AF17="","",SUMIF($C$4:$AE$4,"C2",C17:AE17))</f>
        <v/>
      </c>
      <c r="AL17">
        <f>IF(AF17="","",SUMIF($C$4:$AE$4,"C3",C17:AE17))</f>
        <v/>
      </c>
      <c r="AM17" s="6">
        <f>IF(AF17="","",AJ17/SUMIF($C$4:$AE$4,"C1",$C$5:$AE$5))</f>
        <v/>
      </c>
      <c r="AN17" s="6">
        <f>IF(AF17="","",AK17/SUMIF($C$4:$AE$4,"C2",$C$5:$AE$5))</f>
        <v/>
      </c>
      <c r="AO17" s="6">
        <f>IF(AF17="","",AL17/SUMIF($C$4:$AE$4,"C3",$C$5:$AE$5))</f>
        <v/>
      </c>
      <c r="AP17">
        <f>IF(AF17="","",IF(AG17&gt;=Settings!$B$3,"Ready",IF(AG17&gt;=Settings!$B$4,"Developing","Intervention")))</f>
        <v/>
      </c>
      <c r="AQ17">
        <f>IF(AF17="","",TRIM(IF(AM17&lt;Settings!$B$5,"C1 ","")&amp;IF(AN17&lt;Settings!$B$5,"C2 ","")&amp;IF(AO17&lt;Settings!$B$5,"C3","")))</f>
        <v/>
      </c>
    </row>
    <row r="18">
      <c r="A18" t="n">
        <v>12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>
        <f>IF(COUNT(C18:AE18)=0,"",SUM(C18:AE18))</f>
        <v/>
      </c>
      <c r="AG18" s="6">
        <f>IF(AF18="","",AF18/SUM($C$5:$AE$5))</f>
        <v/>
      </c>
      <c r="AH18">
        <f>IF(AF18="","",SUM(C18:P18))</f>
        <v/>
      </c>
      <c r="AI18">
        <f>IF(AF18="","",SUM(Q18:AE18))</f>
        <v/>
      </c>
      <c r="AJ18">
        <f>IF(AF18="","",SUMIF($C$4:$AE$4,"C1",C18:AE18))</f>
        <v/>
      </c>
      <c r="AK18">
        <f>IF(AF18="","",SUMIF($C$4:$AE$4,"C2",C18:AE18))</f>
        <v/>
      </c>
      <c r="AL18">
        <f>IF(AF18="","",SUMIF($C$4:$AE$4,"C3",C18:AE18))</f>
        <v/>
      </c>
      <c r="AM18" s="6">
        <f>IF(AF18="","",AJ18/SUMIF($C$4:$AE$4,"C1",$C$5:$AE$5))</f>
        <v/>
      </c>
      <c r="AN18" s="6">
        <f>IF(AF18="","",AK18/SUMIF($C$4:$AE$4,"C2",$C$5:$AE$5))</f>
        <v/>
      </c>
      <c r="AO18" s="6">
        <f>IF(AF18="","",AL18/SUMIF($C$4:$AE$4,"C3",$C$5:$AE$5))</f>
        <v/>
      </c>
      <c r="AP18">
        <f>IF(AF18="","",IF(AG18&gt;=Settings!$B$3,"Ready",IF(AG18&gt;=Settings!$B$4,"Developing","Intervention")))</f>
        <v/>
      </c>
      <c r="AQ18">
        <f>IF(AF18="","",TRIM(IF(AM18&lt;Settings!$B$5,"C1 ","")&amp;IF(AN18&lt;Settings!$B$5,"C2 ","")&amp;IF(AO18&lt;Settings!$B$5,"C3","")))</f>
        <v/>
      </c>
    </row>
    <row r="20">
      <c r="B20" t="inlineStr">
        <is>
          <t>Class % correct per part</t>
        </is>
      </c>
      <c r="C20" s="6">
        <f>IF(COUNT(C7:C18)=0,"",AVERAGE(C7:C18))</f>
        <v/>
      </c>
      <c r="D20" s="6">
        <f>IF(COUNT(D7:D18)=0,"",AVERAGE(D7:D18))</f>
        <v/>
      </c>
      <c r="E20" s="6">
        <f>IF(COUNT(E7:E18)=0,"",AVERAGE(E7:E18))</f>
        <v/>
      </c>
      <c r="F20" s="6">
        <f>IF(COUNT(F7:F18)=0,"",AVERAGE(F7:F18))</f>
        <v/>
      </c>
      <c r="G20" s="6">
        <f>IF(COUNT(G7:G18)=0,"",AVERAGE(G7:G18))</f>
        <v/>
      </c>
      <c r="H20" s="6">
        <f>IF(COUNT(H7:H18)=0,"",AVERAGE(H7:H18))</f>
        <v/>
      </c>
      <c r="I20" s="6">
        <f>IF(COUNT(I7:I18)=0,"",AVERAGE(I7:I18))</f>
        <v/>
      </c>
      <c r="J20" s="6">
        <f>IF(COUNT(J7:J18)=0,"",AVERAGE(J7:J18))</f>
        <v/>
      </c>
      <c r="K20" s="6">
        <f>IF(COUNT(K7:K18)=0,"",AVERAGE(K7:K18))</f>
        <v/>
      </c>
      <c r="L20" s="6">
        <f>IF(COUNT(L7:L18)=0,"",AVERAGE(L7:L18))</f>
        <v/>
      </c>
      <c r="M20" s="6">
        <f>IF(COUNT(M7:M18)=0,"",AVERAGE(M7:M18))</f>
        <v/>
      </c>
      <c r="N20" s="6">
        <f>IF(COUNT(N7:N18)=0,"",AVERAGE(N7:N18))</f>
        <v/>
      </c>
      <c r="O20" s="6">
        <f>IF(COUNT(O7:O18)=0,"",AVERAGE(O7:O18))</f>
        <v/>
      </c>
      <c r="P20" s="6">
        <f>IF(COUNT(P7:P18)=0,"",AVERAGE(P7:P18))</f>
        <v/>
      </c>
      <c r="Q20" s="6">
        <f>IF(COUNT(Q7:Q18)=0,"",AVERAGE(Q7:Q18))</f>
        <v/>
      </c>
      <c r="R20" s="6">
        <f>IF(COUNT(R7:R18)=0,"",AVERAGE(R7:R18))</f>
        <v/>
      </c>
      <c r="S20" s="6">
        <f>IF(COUNT(S7:S18)=0,"",AVERAGE(S7:S18))</f>
        <v/>
      </c>
      <c r="T20" s="6">
        <f>IF(COUNT(T7:T18)=0,"",AVERAGE(T7:T18))</f>
        <v/>
      </c>
      <c r="U20" s="6">
        <f>IF(COUNT(U7:U18)=0,"",AVERAGE(U7:U18))</f>
        <v/>
      </c>
      <c r="V20" s="6">
        <f>IF(COUNT(V7:V18)=0,"",AVERAGE(V7:V18))</f>
        <v/>
      </c>
      <c r="W20" s="6">
        <f>IF(COUNT(W7:W18)=0,"",AVERAGE(W7:W18))</f>
        <v/>
      </c>
      <c r="X20" s="6">
        <f>IF(COUNT(X7:X18)=0,"",AVERAGE(X7:X18))</f>
        <v/>
      </c>
      <c r="Y20" s="6">
        <f>IF(COUNT(Y7:Y18)=0,"",AVERAGE(Y7:Y18))</f>
        <v/>
      </c>
      <c r="Z20" s="6">
        <f>IF(COUNT(Z7:Z18)=0,"",AVERAGE(Z7:Z18))</f>
        <v/>
      </c>
      <c r="AA20" s="6">
        <f>IF(COUNT(AA7:AA18)=0,"",AVERAGE(AA7:AA18))</f>
        <v/>
      </c>
      <c r="AB20" s="6">
        <f>IF(COUNT(AB7:AB18)=0,"",AVERAGE(AB7:AB18))</f>
        <v/>
      </c>
      <c r="AC20" s="6">
        <f>IF(COUNT(AC7:AC18)=0,"",AVERAGE(AC7:AC18))</f>
        <v/>
      </c>
      <c r="AD20" s="6">
        <f>IF(COUNT(AD7:AD18)=0,"",AVERAGE(AD7:AD18))</f>
        <v/>
      </c>
      <c r="AE20" s="6">
        <f>IF(COUNT(AE7:AE18)=0,"",AVERAGE(AE7:AE18))</f>
        <v/>
      </c>
    </row>
  </sheetData>
  <conditionalFormatting sqref="AP7:AP18">
    <cfRule type="cellIs" priority="1" operator="equal" dxfId="0">
      <formula>"Intervention"</formula>
    </cfRule>
    <cfRule type="cellIs" priority="2" operator="equal" dxfId="2">
      <formula>"Developing"</formula>
    </cfRule>
    <cfRule type="cellIs" priority="3" operator="equal" dxfId="1">
      <formula>"Ready"</formula>
    </cfRule>
  </conditionalFormatting>
  <dataValidations count="1">
    <dataValidation sqref="C7:AE18" showDropDown="0" showInputMessage="0" showErrorMessage="1" allowBlank="1" errorTitle="Marks" error="Enter 1 or 0.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2026-10-27T04:07:56Z</dcterms:created>
  <dcterms:modified xmlns:dcterms="http://purl.org/dc/terms/" xmlns:xsi="http://www.w3.org/2001/XMLSchema-instance" xsi:type="dcterms:W3CDTF">2026-10-27T04:07:56Z</dcterms:modified>
</cp:coreProperties>
</file>